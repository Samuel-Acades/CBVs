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CBV Bundles\"/>
    </mc:Choice>
  </mc:AlternateContent>
  <xr:revisionPtr revIDLastSave="0" documentId="13_ncr:1_{55D38763-E685-4B38-9EC3-62CE4F878A1B}" xr6:coauthVersionLast="47" xr6:coauthVersionMax="47" xr10:uidLastSave="{00000000-0000-0000-0000-000000000000}"/>
  <bookViews>
    <workbookView xWindow="-108" yWindow="-108" windowWidth="23256" windowHeight="12456" activeTab="2" xr2:uid="{C951FFB2-3E29-4D90-B702-DA6DD8318193}"/>
  </bookViews>
  <sheets>
    <sheet name="Sheet2" sheetId="4" r:id="rId1"/>
    <sheet name="31-aug" sheetId="3" r:id="rId2"/>
    <sheet name="AIRTEL" sheetId="5" r:id="rId3"/>
    <sheet name="TNM" sheetId="6"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 i="3" l="1"/>
  <c r="F13" i="4"/>
  <c r="F12" i="4"/>
  <c r="F11" i="4"/>
  <c r="F10" i="4"/>
  <c r="F14" i="4" s="1"/>
</calcChain>
</file>

<file path=xl/sharedStrings.xml><?xml version="1.0" encoding="utf-8"?>
<sst xmlns="http://schemas.openxmlformats.org/spreadsheetml/2006/main" count="260" uniqueCount="104">
  <si>
    <t>Name</t>
  </si>
  <si>
    <t>District</t>
  </si>
  <si>
    <t>Prefered Internet Line</t>
  </si>
  <si>
    <t xml:space="preserve">Abraham Samuel phiri </t>
  </si>
  <si>
    <t>Mchinji</t>
  </si>
  <si>
    <t>Alson Feston</t>
  </si>
  <si>
    <t>Chifuniro Mzunga</t>
  </si>
  <si>
    <t>Chimwemwe Chilobwe</t>
  </si>
  <si>
    <t>Chipalasa Chikondi</t>
  </si>
  <si>
    <t>Drackson Kenedy</t>
  </si>
  <si>
    <t xml:space="preserve">Duncan Josephy </t>
  </si>
  <si>
    <t>Kasungu</t>
  </si>
  <si>
    <t>Eric Chigwe</t>
  </si>
  <si>
    <t>Francis phiri</t>
  </si>
  <si>
    <t>gaweni Precious</t>
  </si>
  <si>
    <t>Gwaligwali Patrick</t>
  </si>
  <si>
    <t>Halisoni Banda</t>
  </si>
  <si>
    <t>kelvin nyambose</t>
  </si>
  <si>
    <t>Luwisi Salim</t>
  </si>
  <si>
    <t>Maria Sainani</t>
  </si>
  <si>
    <t>Memory jimmy</t>
  </si>
  <si>
    <t>Memory Mbewe</t>
  </si>
  <si>
    <t>Raymond Julias</t>
  </si>
  <si>
    <t>Sinoya Innocent</t>
  </si>
  <si>
    <t>Stanley Chirwa</t>
  </si>
  <si>
    <t>tilifoni nickson</t>
  </si>
  <si>
    <t>WILSON MWALE</t>
  </si>
  <si>
    <t>Zione Willima</t>
  </si>
  <si>
    <t>Lilongwe</t>
  </si>
  <si>
    <t>zimba Gerald</t>
  </si>
  <si>
    <t>Sandikonda Rohdreck</t>
  </si>
  <si>
    <t>Matilda Benson</t>
  </si>
  <si>
    <t>Esau Faliot</t>
  </si>
  <si>
    <t>Chisomo symon</t>
  </si>
  <si>
    <t>Ivon Lufeyo</t>
  </si>
  <si>
    <t>mizeki malita</t>
  </si>
  <si>
    <t>Aubrey nkhoma</t>
  </si>
  <si>
    <t>Rabecca Kamtande</t>
  </si>
  <si>
    <t>Rodrick Pensulani</t>
  </si>
  <si>
    <t>Susan Banda</t>
  </si>
  <si>
    <t>ALPHA CHIWEDE</t>
  </si>
  <si>
    <t>Patrick Nathaniel</t>
  </si>
  <si>
    <t>Sosten Banda</t>
  </si>
  <si>
    <t>REQUESITION FORM</t>
  </si>
  <si>
    <t>FUNDS REQUEST JUSTIFICATION</t>
  </si>
  <si>
    <t>Budget  Line</t>
  </si>
  <si>
    <t>Quantity</t>
  </si>
  <si>
    <t>Frequency</t>
  </si>
  <si>
    <t>Unit Cost</t>
  </si>
  <si>
    <t>Total Cost</t>
  </si>
  <si>
    <t>Internet Bundle (Airtel)</t>
  </si>
  <si>
    <t>Internet Bundle (TNM)</t>
  </si>
  <si>
    <t>Total</t>
  </si>
  <si>
    <t>Requested by: SAMUEL KACHALI</t>
  </si>
  <si>
    <t>Designation: DATA SCIENTIST</t>
  </si>
  <si>
    <t>Signature</t>
  </si>
  <si>
    <t>Date</t>
  </si>
  <si>
    <t>Certified by: LINLY DUMUKA</t>
  </si>
  <si>
    <t>Designation: INNOVATIONS LEAD</t>
  </si>
  <si>
    <t xml:space="preserve">Authorised by: </t>
  </si>
  <si>
    <t>Designation   :</t>
  </si>
  <si>
    <t>Acknowledgement of receipt</t>
  </si>
  <si>
    <t xml:space="preserve">Full name: </t>
  </si>
  <si>
    <t>This requisition is to cover monthly internet bundles to be used for scaling out of the ACADES AI Farmer app with the CBVs and also members of clubs who have access to smart phones to districts like Kasungu, Mchinji, Lilongwe and Ntchisi for the month of September in year 2026. The total number of CBVs is 39 with 26 members using AIRTEL numbers and 13 members using TNM numbers. This activity is in collaboration with M and E team and Field officers, the funds will be utilized for: AI Farmer Usage and Reporting.</t>
  </si>
  <si>
    <t>Status</t>
  </si>
  <si>
    <t>x</t>
  </si>
  <si>
    <t>Elifasi Chande</t>
  </si>
  <si>
    <t>Malizan phili</t>
  </si>
  <si>
    <t>ELIPHATI MUSTAFA</t>
  </si>
  <si>
    <t>Thomas Yosofat</t>
  </si>
  <si>
    <t>Kumbukani Sadrack</t>
  </si>
  <si>
    <t>Lonica Chizumba</t>
  </si>
  <si>
    <t xml:space="preserve">Sandles kalele </t>
  </si>
  <si>
    <t>Machilika Orton</t>
  </si>
  <si>
    <t>31/08/2026</t>
  </si>
  <si>
    <t>Abraham Phiri</t>
  </si>
  <si>
    <t>Alpha chiwede</t>
  </si>
  <si>
    <t>Aubrey Nkhoma</t>
  </si>
  <si>
    <t>Drackson Kennedy</t>
  </si>
  <si>
    <t>ERIC CHIGWE</t>
  </si>
  <si>
    <t>Elephat mustafa</t>
  </si>
  <si>
    <t>Elifasi chande</t>
  </si>
  <si>
    <t>Frasis phili</t>
  </si>
  <si>
    <t>Gerald zimba</t>
  </si>
  <si>
    <t>Kumbukani sadrack</t>
  </si>
  <si>
    <t>LUWISI SALIMU</t>
  </si>
  <si>
    <t>Lonica chizumba</t>
  </si>
  <si>
    <t>MACHILIKA ORTON</t>
  </si>
  <si>
    <t>Malizani phili</t>
  </si>
  <si>
    <t>Patrick gwaligwali</t>
  </si>
  <si>
    <t>Precious gaweni</t>
  </si>
  <si>
    <t>Rabecca kamtande</t>
  </si>
  <si>
    <t>Raymond Julius</t>
  </si>
  <si>
    <t>Rodrick pesulani</t>
  </si>
  <si>
    <t>Sandless Kalele</t>
  </si>
  <si>
    <t>Thomas yosofat chilomba</t>
  </si>
  <si>
    <t>Triphonia nickson</t>
  </si>
  <si>
    <t>Wilson Mwale</t>
  </si>
  <si>
    <t>Zione Wilima</t>
  </si>
  <si>
    <t>X</t>
  </si>
  <si>
    <t>\</t>
  </si>
  <si>
    <t>BUNDLE BUT NO REPORT</t>
  </si>
  <si>
    <t>BUNDLE REPORT &lt;4</t>
  </si>
  <si>
    <t>X means they received bundle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</si>
</sst>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
    <numFmt numFmtId="165" formatCode="_-* #,##0.00_-;\-* #,##0.00_-;_-* &quot;-&quot;??_-;_-@"/>
    <numFmt numFmtId="166" formatCode="_-&quot;MK&quot;* #,##0_-;\-&quot;MK&quot;* #,##0_-;_-&quot;MK&quot;* &quot;-&quot;??_-;_-@"/>
  </numFmts>
  <fonts count="13">
    <font>
      <sz val="11"/>
      <color theme="1"/>
      <name val="Calibri"/>
      <family val="2"/>
      <scheme val="minor"/>
    </font>
    <font>
      <sz val="10"/>
      <color rgb="FF000000"/>
      <name val="Calibri"/>
      <family val="2"/>
      <scheme val="minor"/>
    </font>
    <font>
      <b/>
      <sz val="12"/>
      <color rgb="FF000000"/>
      <name val="Calibri "/>
    </font>
    <font>
      <sz val="12"/>
      <color rgb="FF000000"/>
      <name val="Calibri "/>
    </font>
    <font>
      <sz val="12"/>
      <color theme="1"/>
      <name val="Calibri "/>
    </font>
    <font>
      <sz val="12"/>
      <color rgb="FF000000"/>
      <name val="Arial"/>
      <family val="2"/>
    </font>
    <font>
      <sz val="10"/>
      <name val="Arial"/>
      <family val="2"/>
    </font>
    <font>
      <b/>
      <sz val="12"/>
      <color rgb="FF000000"/>
      <name val="Arial"/>
      <family val="2"/>
    </font>
    <font>
      <sz val="12"/>
      <color theme="1"/>
      <name val="Arial"/>
      <family val="2"/>
    </font>
    <font>
      <sz val="10"/>
      <color theme="1"/>
      <name val="Arial"/>
      <family val="2"/>
    </font>
    <font>
      <b/>
      <sz val="11"/>
      <color theme="1"/>
      <name val="Calibri"/>
      <family val="2"/>
      <scheme val="minor"/>
    </font>
    <font>
      <b/>
      <sz val="12"/>
      <color rgb="FF000000"/>
      <name val="Calibri"/>
      <family val="2"/>
      <scheme val="minor"/>
    </font>
    <font>
      <sz val="11"/>
      <color rgb="FF000000"/>
      <name val="Calibri"/>
      <family val="2"/>
      <scheme val="minor"/>
    </font>
  </fonts>
  <fills count="10">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FFFFFF"/>
        <bgColor rgb="FFFFFFFF"/>
      </patternFill>
    </fill>
    <fill>
      <patternFill patternType="solid">
        <fgColor theme="9"/>
        <bgColor indexed="64"/>
      </patternFill>
    </fill>
    <fill>
      <patternFill patternType="solid">
        <fgColor rgb="FFC00000"/>
        <bgColor indexed="64"/>
      </patternFill>
    </fill>
    <fill>
      <patternFill patternType="solid">
        <fgColor rgb="FFFFF2CC"/>
        <bgColor indexed="64"/>
      </patternFill>
    </fill>
    <fill>
      <patternFill patternType="solid">
        <fgColor rgb="FF92D050"/>
        <bgColor indexed="64"/>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111">
    <xf numFmtId="0" fontId="0" fillId="0" borderId="0" xfId="0"/>
    <xf numFmtId="0" fontId="0" fillId="0" borderId="0" xfId="0" applyAlignment="1">
      <alignment vertical="center"/>
    </xf>
    <xf numFmtId="0" fontId="2" fillId="2" borderId="1" xfId="0" applyFont="1" applyFill="1" applyBorder="1" applyAlignment="1">
      <alignment wrapText="1"/>
    </xf>
    <xf numFmtId="0" fontId="2" fillId="2" borderId="1" xfId="0" applyFont="1" applyFill="1" applyBorder="1" applyAlignment="1">
      <alignment horizontal="left" wrapText="1"/>
    </xf>
    <xf numFmtId="0" fontId="3" fillId="0" borderId="1" xfId="0" applyFont="1" applyBorder="1"/>
    <xf numFmtId="0" fontId="3" fillId="3" borderId="1" xfId="1" applyFont="1" applyFill="1" applyBorder="1" applyAlignment="1">
      <alignment horizontal="left" wrapText="1"/>
    </xf>
    <xf numFmtId="0" fontId="3" fillId="0" borderId="1" xfId="1" applyFont="1" applyBorder="1" applyAlignment="1">
      <alignment wrapText="1"/>
    </xf>
    <xf numFmtId="0" fontId="3" fillId="0" borderId="1" xfId="1" applyFont="1" applyBorder="1" applyAlignment="1">
      <alignment horizontal="left" wrapText="1"/>
    </xf>
    <xf numFmtId="0" fontId="3" fillId="0" borderId="1" xfId="1" applyFont="1" applyBorder="1" applyAlignment="1">
      <alignment horizontal="right" wrapText="1"/>
    </xf>
    <xf numFmtId="0" fontId="3" fillId="0" borderId="1" xfId="0" applyFont="1" applyBorder="1" applyAlignment="1">
      <alignment horizontal="left"/>
    </xf>
    <xf numFmtId="0" fontId="3" fillId="3" borderId="1" xfId="1" applyFont="1" applyFill="1" applyBorder="1" applyAlignment="1">
      <alignment wrapText="1"/>
    </xf>
    <xf numFmtId="0" fontId="3" fillId="3" borderId="1" xfId="1" applyFont="1" applyFill="1" applyBorder="1" applyAlignment="1">
      <alignment horizontal="right" wrapText="1"/>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horizontal="right" wrapText="1"/>
    </xf>
    <xf numFmtId="0" fontId="4" fillId="0" borderId="1" xfId="0" applyFont="1" applyBorder="1"/>
    <xf numFmtId="0" fontId="5" fillId="0" borderId="3" xfId="0" applyFont="1" applyBorder="1"/>
    <xf numFmtId="0" fontId="5" fillId="0" borderId="0" xfId="0" applyFont="1"/>
    <xf numFmtId="0" fontId="5" fillId="0" borderId="14" xfId="0" applyFont="1" applyBorder="1"/>
    <xf numFmtId="0" fontId="5" fillId="0" borderId="4" xfId="0" applyFont="1" applyBorder="1"/>
    <xf numFmtId="0" fontId="5" fillId="0" borderId="5" xfId="0" applyFont="1" applyBorder="1"/>
    <xf numFmtId="0" fontId="7" fillId="0" borderId="15" xfId="0" applyFont="1" applyBorder="1" applyAlignment="1">
      <alignment horizontal="center"/>
    </xf>
    <xf numFmtId="0" fontId="7" fillId="0" borderId="15" xfId="0" applyFont="1" applyBorder="1"/>
    <xf numFmtId="0" fontId="7" fillId="0" borderId="9" xfId="0" applyFont="1" applyBorder="1"/>
    <xf numFmtId="0" fontId="8" fillId="4" borderId="16" xfId="0" applyFont="1" applyFill="1" applyBorder="1" applyAlignment="1">
      <alignment wrapText="1"/>
    </xf>
    <xf numFmtId="0" fontId="8" fillId="4" borderId="17" xfId="0" applyFont="1" applyFill="1" applyBorder="1" applyAlignment="1">
      <alignment wrapText="1"/>
    </xf>
    <xf numFmtId="0" fontId="8" fillId="4" borderId="17" xfId="0" applyFont="1" applyFill="1" applyBorder="1" applyAlignment="1">
      <alignment horizontal="right" wrapText="1"/>
    </xf>
    <xf numFmtId="3" fontId="8" fillId="4" borderId="18" xfId="0" applyNumberFormat="1" applyFont="1" applyFill="1" applyBorder="1" applyAlignment="1">
      <alignment horizontal="right" wrapText="1"/>
    </xf>
    <xf numFmtId="3" fontId="9" fillId="4" borderId="0" xfId="0" applyNumberFormat="1" applyFont="1" applyFill="1" applyAlignment="1">
      <alignment horizontal="right" wrapText="1"/>
    </xf>
    <xf numFmtId="0" fontId="8" fillId="0" borderId="19" xfId="0" applyFont="1" applyBorder="1" applyAlignment="1">
      <alignment vertical="center"/>
    </xf>
    <xf numFmtId="0" fontId="8" fillId="4" borderId="20" xfId="0" applyFont="1" applyFill="1" applyBorder="1" applyAlignment="1">
      <alignment wrapText="1"/>
    </xf>
    <xf numFmtId="0" fontId="8" fillId="4" borderId="2" xfId="0" applyFont="1" applyFill="1" applyBorder="1" applyAlignment="1">
      <alignment horizontal="right" wrapText="1"/>
    </xf>
    <xf numFmtId="3" fontId="5" fillId="0" borderId="0" xfId="0" applyNumberFormat="1" applyFont="1"/>
    <xf numFmtId="0" fontId="8" fillId="4" borderId="15" xfId="0" applyFont="1" applyFill="1" applyBorder="1" applyAlignment="1">
      <alignment wrapText="1"/>
    </xf>
    <xf numFmtId="0" fontId="8" fillId="4" borderId="21" xfId="0" applyFont="1" applyFill="1" applyBorder="1" applyAlignment="1">
      <alignment wrapText="1"/>
    </xf>
    <xf numFmtId="164" fontId="8" fillId="4" borderId="21" xfId="0" applyNumberFormat="1" applyFont="1" applyFill="1" applyBorder="1" applyAlignment="1">
      <alignment horizontal="right" wrapText="1"/>
    </xf>
    <xf numFmtId="0" fontId="5" fillId="0" borderId="21" xfId="0" applyFont="1" applyBorder="1" applyAlignment="1">
      <alignment wrapText="1"/>
    </xf>
    <xf numFmtId="164" fontId="5" fillId="0" borderId="21" xfId="0" applyNumberFormat="1" applyFont="1" applyBorder="1"/>
    <xf numFmtId="165" fontId="5" fillId="0" borderId="0" xfId="0" applyNumberFormat="1" applyFont="1"/>
    <xf numFmtId="0" fontId="5" fillId="0" borderId="19" xfId="0" applyFont="1" applyBorder="1"/>
    <xf numFmtId="166" fontId="7" fillId="0" borderId="19" xfId="0" applyNumberFormat="1" applyFont="1" applyBorder="1"/>
    <xf numFmtId="0" fontId="5" fillId="0" borderId="6" xfId="0" applyFont="1" applyBorder="1"/>
    <xf numFmtId="0" fontId="5" fillId="0" borderId="7" xfId="0" applyFont="1" applyBorder="1"/>
    <xf numFmtId="0" fontId="5" fillId="0" borderId="8" xfId="0" applyFont="1" applyBorder="1"/>
    <xf numFmtId="0" fontId="7" fillId="0" borderId="12" xfId="0" applyFont="1" applyBorder="1"/>
    <xf numFmtId="0" fontId="8" fillId="0" borderId="10" xfId="0" applyFont="1" applyBorder="1"/>
    <xf numFmtId="14" fontId="7" fillId="0" borderId="11" xfId="0" applyNumberFormat="1" applyFont="1" applyBorder="1"/>
    <xf numFmtId="0" fontId="7" fillId="0" borderId="0" xfId="0" applyFont="1" applyAlignment="1">
      <alignment horizontal="center"/>
    </xf>
    <xf numFmtId="0" fontId="5" fillId="0" borderId="0" xfId="0" applyFont="1" applyAlignment="1">
      <alignment horizontal="center"/>
    </xf>
    <xf numFmtId="0" fontId="7" fillId="0" borderId="13"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5" fillId="0" borderId="10" xfId="0" applyFont="1" applyBorder="1" applyAlignment="1">
      <alignment horizontal="center"/>
    </xf>
    <xf numFmtId="0" fontId="5" fillId="0" borderId="13" xfId="0" applyFont="1" applyBorder="1" applyAlignment="1">
      <alignment horizontal="center"/>
    </xf>
    <xf numFmtId="0" fontId="7" fillId="0" borderId="8" xfId="0" applyFont="1" applyBorder="1" applyAlignment="1">
      <alignment horizontal="center"/>
    </xf>
    <xf numFmtId="0" fontId="5" fillId="0" borderId="12" xfId="0" applyFont="1" applyBorder="1"/>
    <xf numFmtId="0" fontId="9" fillId="0" borderId="0" xfId="0" applyFont="1" applyAlignment="1">
      <alignment vertical="center"/>
    </xf>
    <xf numFmtId="0" fontId="5" fillId="0" borderId="9" xfId="0" applyFont="1" applyBorder="1"/>
    <xf numFmtId="0" fontId="5" fillId="0" borderId="10" xfId="0" applyFont="1" applyBorder="1"/>
    <xf numFmtId="0" fontId="5" fillId="0" borderId="11" xfId="0" applyFont="1" applyBorder="1"/>
    <xf numFmtId="0" fontId="10" fillId="0" borderId="0" xfId="0" applyFont="1"/>
    <xf numFmtId="0" fontId="0" fillId="5" borderId="0" xfId="0" applyFill="1"/>
    <xf numFmtId="0" fontId="0" fillId="6" borderId="0" xfId="0" applyFill="1"/>
    <xf numFmtId="0" fontId="3" fillId="0" borderId="22" xfId="1" applyFont="1" applyBorder="1" applyAlignment="1">
      <alignment wrapText="1"/>
    </xf>
    <xf numFmtId="0" fontId="3" fillId="0" borderId="0" xfId="1" applyFont="1" applyAlignment="1">
      <alignment horizontal="right" wrapText="1"/>
    </xf>
    <xf numFmtId="0" fontId="11" fillId="2" borderId="1" xfId="0" applyFont="1" applyFill="1" applyBorder="1" applyAlignment="1">
      <alignment wrapText="1"/>
    </xf>
    <xf numFmtId="0" fontId="11" fillId="2" borderId="23" xfId="0" applyFont="1" applyFill="1" applyBorder="1" applyAlignment="1">
      <alignment horizontal="left" wrapText="1"/>
    </xf>
    <xf numFmtId="0" fontId="11" fillId="2" borderId="23" xfId="0" applyFont="1" applyFill="1" applyBorder="1" applyAlignment="1">
      <alignment wrapText="1"/>
    </xf>
    <xf numFmtId="0" fontId="12" fillId="0" borderId="0" xfId="0" applyFont="1"/>
    <xf numFmtId="0" fontId="3" fillId="0" borderId="0" xfId="1" applyFont="1" applyAlignment="1">
      <alignment wrapText="1"/>
    </xf>
    <xf numFmtId="0" fontId="7" fillId="0" borderId="12" xfId="0" applyFont="1" applyBorder="1"/>
    <xf numFmtId="0" fontId="0" fillId="0" borderId="0" xfId="0" applyAlignment="1">
      <alignment vertical="center"/>
    </xf>
    <xf numFmtId="0" fontId="5" fillId="0" borderId="3" xfId="0" applyFont="1" applyBorder="1"/>
    <xf numFmtId="0" fontId="6" fillId="0" borderId="4" xfId="0" applyFont="1" applyBorder="1" applyAlignment="1">
      <alignment vertical="center"/>
    </xf>
    <xf numFmtId="0" fontId="6" fillId="0" borderId="5" xfId="0" applyFont="1" applyBorder="1" applyAlignment="1">
      <alignment vertical="center"/>
    </xf>
    <xf numFmtId="0" fontId="7" fillId="0" borderId="6" xfId="0" applyFont="1" applyBorder="1" applyAlignment="1">
      <alignment horizontal="center"/>
    </xf>
    <xf numFmtId="0" fontId="6" fillId="0" borderId="7"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5" fillId="0" borderId="12" xfId="0" applyFont="1" applyBorder="1" applyAlignment="1">
      <alignment wrapText="1"/>
    </xf>
    <xf numFmtId="0" fontId="6" fillId="0" borderId="13" xfId="0" applyFont="1" applyBorder="1" applyAlignment="1">
      <alignment vertical="center"/>
    </xf>
    <xf numFmtId="0" fontId="6" fillId="0" borderId="12" xfId="0" applyFont="1" applyBorder="1" applyAlignment="1">
      <alignment vertical="center"/>
    </xf>
    <xf numFmtId="0" fontId="7" fillId="0" borderId="3" xfId="0" applyFont="1" applyBorder="1"/>
    <xf numFmtId="14" fontId="0" fillId="0" borderId="1" xfId="0" applyNumberFormat="1" applyBorder="1"/>
    <xf numFmtId="0" fontId="3" fillId="3" borderId="0" xfId="1" applyFont="1" applyFill="1" applyBorder="1" applyAlignment="1">
      <alignment wrapText="1"/>
    </xf>
    <xf numFmtId="0" fontId="0" fillId="0" borderId="1" xfId="0" applyBorder="1"/>
    <xf numFmtId="0" fontId="3" fillId="3" borderId="0" xfId="1" applyFont="1" applyFill="1" applyBorder="1" applyAlignment="1">
      <alignment horizontal="left" wrapText="1"/>
    </xf>
    <xf numFmtId="0" fontId="3" fillId="3" borderId="0" xfId="1" applyFont="1" applyFill="1" applyBorder="1" applyAlignment="1">
      <alignment horizontal="right" wrapText="1"/>
    </xf>
    <xf numFmtId="0" fontId="0" fillId="7" borderId="24" xfId="0" applyFill="1" applyBorder="1" applyAlignment="1">
      <alignment wrapText="1"/>
    </xf>
    <xf numFmtId="0" fontId="3" fillId="8" borderId="1" xfId="1" applyFont="1" applyFill="1" applyBorder="1" applyAlignment="1">
      <alignment wrapText="1"/>
    </xf>
    <xf numFmtId="0" fontId="3" fillId="8" borderId="1" xfId="1" applyFont="1" applyFill="1" applyBorder="1" applyAlignment="1">
      <alignment horizontal="left" wrapText="1"/>
    </xf>
    <xf numFmtId="0" fontId="3" fillId="8" borderId="1" xfId="1" applyFont="1" applyFill="1" applyBorder="1" applyAlignment="1">
      <alignment horizontal="right" wrapText="1"/>
    </xf>
    <xf numFmtId="0" fontId="3" fillId="8" borderId="1" xfId="0" applyFont="1" applyFill="1" applyBorder="1"/>
    <xf numFmtId="0" fontId="10" fillId="8" borderId="0" xfId="0" applyFont="1" applyFill="1"/>
    <xf numFmtId="0" fontId="3" fillId="9" borderId="1" xfId="1" applyFont="1" applyFill="1" applyBorder="1" applyAlignment="1">
      <alignment wrapText="1"/>
    </xf>
    <xf numFmtId="0" fontId="3" fillId="9" borderId="1" xfId="1" applyFont="1" applyFill="1" applyBorder="1" applyAlignment="1">
      <alignment horizontal="left" wrapText="1"/>
    </xf>
    <xf numFmtId="0" fontId="3" fillId="9" borderId="1" xfId="1" applyFont="1" applyFill="1" applyBorder="1" applyAlignment="1">
      <alignment horizontal="right" wrapText="1"/>
    </xf>
    <xf numFmtId="0" fontId="3" fillId="9" borderId="1" xfId="0" applyFont="1" applyFill="1" applyBorder="1"/>
    <xf numFmtId="0" fontId="4" fillId="9" borderId="1" xfId="0" applyFont="1" applyFill="1" applyBorder="1"/>
    <xf numFmtId="0" fontId="2" fillId="2" borderId="0" xfId="0" applyNumberFormat="1" applyFont="1" applyFill="1" applyAlignment="1">
      <alignment wrapText="1"/>
    </xf>
    <xf numFmtId="0" fontId="0" fillId="0" borderId="0" xfId="0" applyNumberFormat="1"/>
    <xf numFmtId="0" fontId="3" fillId="0" borderId="0" xfId="0" applyNumberFormat="1" applyFont="1"/>
    <xf numFmtId="0" fontId="3" fillId="0" borderId="0" xfId="1" applyNumberFormat="1" applyFont="1" applyAlignment="1">
      <alignment horizontal="right" wrapText="1"/>
    </xf>
    <xf numFmtId="0" fontId="3" fillId="0" borderId="0" xfId="1" applyNumberFormat="1" applyFont="1" applyFill="1" applyAlignment="1">
      <alignment horizontal="right" wrapText="1"/>
    </xf>
    <xf numFmtId="0" fontId="3" fillId="3" borderId="0" xfId="1" applyNumberFormat="1" applyFont="1" applyFill="1" applyAlignment="1">
      <alignment horizontal="right" wrapText="1"/>
    </xf>
    <xf numFmtId="0" fontId="0" fillId="0" borderId="0" xfId="0" applyNumberFormat="1" applyAlignment="1">
      <alignment vertical="center"/>
    </xf>
    <xf numFmtId="0" fontId="4" fillId="0" borderId="0" xfId="0" applyNumberFormat="1" applyFont="1"/>
    <xf numFmtId="0" fontId="10" fillId="9" borderId="0" xfId="0" applyNumberFormat="1" applyFont="1" applyFill="1"/>
  </cellXfs>
  <cellStyles count="2">
    <cellStyle name="Normal" xfId="0" builtinId="0"/>
    <cellStyle name="Normal 2" xfId="1" xr:uid="{B1EF0FCF-D03E-4784-A5DF-9DB0617B5A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2066925</xdr:colOff>
      <xdr:row>0</xdr:row>
      <xdr:rowOff>28575</xdr:rowOff>
    </xdr:from>
    <xdr:ext cx="647700" cy="533400"/>
    <xdr:pic>
      <xdr:nvPicPr>
        <xdr:cNvPr id="2" name="image1.png" title="Image">
          <a:extLst>
            <a:ext uri="{FF2B5EF4-FFF2-40B4-BE49-F238E27FC236}">
              <a16:creationId xmlns:a16="http://schemas.microsoft.com/office/drawing/2014/main" id="{B44E0EB9-02EA-4E26-93AD-740D24EACDA4}"/>
            </a:ext>
          </a:extLst>
        </xdr:cNvPr>
        <xdr:cNvPicPr preferRelativeResize="0"/>
      </xdr:nvPicPr>
      <xdr:blipFill>
        <a:blip xmlns:r="http://schemas.openxmlformats.org/officeDocument/2006/relationships" r:embed="rId1" cstate="print"/>
        <a:stretch>
          <a:fillRect/>
        </a:stretch>
      </xdr:blipFill>
      <xdr:spPr>
        <a:xfrm>
          <a:off x="2501265" y="28575"/>
          <a:ext cx="647700" cy="53340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AF6E-F973-4DD7-BD8A-955398733B4F}">
  <dimension ref="A1:Z1000"/>
  <sheetViews>
    <sheetView workbookViewId="0">
      <selection activeCell="F16" sqref="F16"/>
    </sheetView>
  </sheetViews>
  <sheetFormatPr defaultColWidth="12.6640625" defaultRowHeight="15" customHeight="1"/>
  <cols>
    <col min="1" max="1" width="6.33203125" style="1" customWidth="1"/>
    <col min="2" max="2" width="33.33203125" style="1" customWidth="1"/>
    <col min="3" max="3" width="13.21875" style="1" customWidth="1"/>
    <col min="4" max="4" width="12.109375" style="1" customWidth="1"/>
    <col min="5" max="5" width="13.109375" style="1" customWidth="1"/>
    <col min="6" max="6" width="16.88671875" style="1" customWidth="1"/>
    <col min="7" max="7" width="3.109375" style="1" customWidth="1"/>
    <col min="8" max="8" width="18.21875" style="1" customWidth="1"/>
    <col min="9" max="26" width="12" style="1" customWidth="1"/>
    <col min="27" max="16384" width="12.6640625" style="1"/>
  </cols>
  <sheetData>
    <row r="1" spans="1:26" ht="48.75" customHeight="1" thickBot="1">
      <c r="A1" s="73"/>
      <c r="B1" s="74"/>
      <c r="C1" s="74"/>
      <c r="D1" s="74"/>
      <c r="E1" s="74"/>
      <c r="F1" s="75"/>
      <c r="G1" s="18"/>
      <c r="H1" s="18"/>
      <c r="I1" s="18"/>
      <c r="J1" s="18"/>
      <c r="K1" s="18"/>
      <c r="L1" s="18"/>
      <c r="M1" s="18"/>
      <c r="N1" s="18"/>
      <c r="O1" s="18"/>
      <c r="P1" s="18"/>
      <c r="Q1" s="18"/>
      <c r="R1" s="18"/>
      <c r="S1" s="18"/>
      <c r="T1" s="18"/>
      <c r="U1" s="18"/>
      <c r="V1" s="18"/>
      <c r="W1" s="18"/>
      <c r="X1" s="18"/>
      <c r="Y1" s="18"/>
      <c r="Z1" s="18"/>
    </row>
    <row r="2" spans="1:26" ht="15.75" customHeight="1" thickBot="1">
      <c r="A2" s="76" t="s">
        <v>43</v>
      </c>
      <c r="B2" s="77"/>
      <c r="C2" s="77"/>
      <c r="D2" s="77"/>
      <c r="E2" s="77"/>
      <c r="F2" s="78"/>
      <c r="G2" s="18"/>
      <c r="H2" s="18"/>
      <c r="I2" s="18"/>
      <c r="J2" s="18"/>
      <c r="K2" s="18"/>
      <c r="L2" s="18"/>
      <c r="M2" s="18"/>
      <c r="N2" s="18"/>
      <c r="O2" s="18"/>
      <c r="P2" s="18"/>
      <c r="Q2" s="18"/>
      <c r="R2" s="18"/>
      <c r="S2" s="18"/>
      <c r="T2" s="18"/>
      <c r="U2" s="18"/>
      <c r="V2" s="18"/>
      <c r="W2" s="18"/>
      <c r="X2" s="18"/>
      <c r="Y2" s="18"/>
      <c r="Z2" s="18"/>
    </row>
    <row r="3" spans="1:26" ht="15.75" customHeight="1">
      <c r="A3" s="76" t="s">
        <v>44</v>
      </c>
      <c r="B3" s="77"/>
      <c r="C3" s="77"/>
      <c r="D3" s="77"/>
      <c r="E3" s="77"/>
      <c r="F3" s="78"/>
      <c r="G3" s="18"/>
      <c r="H3" s="18"/>
      <c r="I3" s="18"/>
      <c r="J3" s="18"/>
      <c r="K3" s="18"/>
      <c r="L3" s="18"/>
      <c r="M3" s="18"/>
      <c r="N3" s="18"/>
      <c r="O3" s="18"/>
      <c r="P3" s="18"/>
      <c r="Q3" s="18"/>
      <c r="R3" s="18"/>
      <c r="S3" s="18"/>
      <c r="T3" s="18"/>
      <c r="U3" s="18"/>
      <c r="V3" s="18"/>
      <c r="W3" s="18"/>
      <c r="X3" s="18"/>
      <c r="Y3" s="18"/>
      <c r="Z3" s="18"/>
    </row>
    <row r="4" spans="1:26" ht="15.75" customHeight="1" thickBot="1">
      <c r="A4" s="79"/>
      <c r="B4" s="80"/>
      <c r="C4" s="80"/>
      <c r="D4" s="80"/>
      <c r="E4" s="80"/>
      <c r="F4" s="81"/>
      <c r="G4" s="18"/>
      <c r="H4" s="18"/>
      <c r="I4" s="18"/>
      <c r="J4" s="18"/>
      <c r="K4" s="18"/>
      <c r="L4" s="18"/>
      <c r="M4" s="18"/>
      <c r="N4" s="18"/>
      <c r="O4" s="18"/>
      <c r="P4" s="18"/>
      <c r="Q4" s="18"/>
      <c r="R4" s="18"/>
      <c r="S4" s="18"/>
      <c r="T4" s="18"/>
      <c r="U4" s="18"/>
      <c r="V4" s="18"/>
      <c r="W4" s="18"/>
      <c r="X4" s="18"/>
      <c r="Y4" s="18"/>
      <c r="Z4" s="18"/>
    </row>
    <row r="5" spans="1:26" ht="15.75" customHeight="1">
      <c r="A5" s="82" t="s">
        <v>63</v>
      </c>
      <c r="B5" s="72"/>
      <c r="C5" s="72"/>
      <c r="D5" s="72"/>
      <c r="E5" s="72"/>
      <c r="F5" s="83"/>
      <c r="G5" s="18"/>
      <c r="H5" s="18"/>
      <c r="I5" s="18"/>
      <c r="J5" s="18"/>
      <c r="K5" s="18"/>
      <c r="L5" s="18"/>
      <c r="M5" s="18"/>
      <c r="N5" s="18"/>
      <c r="O5" s="18"/>
      <c r="P5" s="18"/>
      <c r="Q5" s="18"/>
      <c r="R5" s="18"/>
      <c r="S5" s="18"/>
      <c r="T5" s="18"/>
      <c r="U5" s="18"/>
      <c r="V5" s="18"/>
      <c r="W5" s="18"/>
      <c r="X5" s="18"/>
      <c r="Y5" s="18"/>
      <c r="Z5" s="18"/>
    </row>
    <row r="6" spans="1:26" ht="15.75" customHeight="1">
      <c r="A6" s="84"/>
      <c r="B6" s="72"/>
      <c r="C6" s="72"/>
      <c r="D6" s="72"/>
      <c r="E6" s="72"/>
      <c r="F6" s="83"/>
      <c r="G6" s="18"/>
      <c r="H6" s="18"/>
      <c r="I6" s="18"/>
      <c r="J6" s="18"/>
      <c r="K6" s="18"/>
      <c r="L6" s="18"/>
      <c r="M6" s="18"/>
      <c r="N6" s="18"/>
      <c r="O6" s="18"/>
      <c r="P6" s="18"/>
      <c r="Q6" s="18"/>
      <c r="R6" s="18"/>
      <c r="S6" s="18"/>
      <c r="T6" s="18"/>
      <c r="U6" s="18"/>
      <c r="V6" s="18"/>
      <c r="W6" s="18"/>
      <c r="X6" s="18"/>
      <c r="Y6" s="18"/>
      <c r="Z6" s="18"/>
    </row>
    <row r="7" spans="1:26" ht="24" customHeight="1" thickBot="1">
      <c r="A7" s="84"/>
      <c r="B7" s="72"/>
      <c r="C7" s="72"/>
      <c r="D7" s="72"/>
      <c r="E7" s="72"/>
      <c r="F7" s="83"/>
      <c r="G7" s="18"/>
      <c r="H7" s="18"/>
      <c r="I7" s="18"/>
      <c r="J7" s="18"/>
      <c r="K7" s="18"/>
      <c r="L7" s="18"/>
      <c r="M7" s="18"/>
      <c r="N7" s="18"/>
      <c r="O7" s="18"/>
      <c r="P7" s="18"/>
      <c r="Q7" s="18"/>
      <c r="R7" s="18"/>
      <c r="S7" s="18"/>
      <c r="T7" s="18"/>
      <c r="U7" s="18"/>
      <c r="V7" s="18"/>
      <c r="W7" s="18"/>
      <c r="X7" s="18"/>
      <c r="Y7" s="18"/>
      <c r="Z7" s="18"/>
    </row>
    <row r="8" spans="1:26" ht="15.75" customHeight="1" thickBot="1">
      <c r="A8" s="17"/>
      <c r="B8" s="19"/>
      <c r="C8" s="20"/>
      <c r="D8" s="20"/>
      <c r="E8" s="20"/>
      <c r="F8" s="21"/>
      <c r="G8" s="18"/>
      <c r="H8" s="18"/>
      <c r="I8" s="18"/>
      <c r="J8" s="18"/>
      <c r="K8" s="18"/>
      <c r="L8" s="18"/>
      <c r="M8" s="18"/>
      <c r="N8" s="18"/>
      <c r="O8" s="18"/>
      <c r="P8" s="18"/>
      <c r="Q8" s="18"/>
      <c r="R8" s="18"/>
      <c r="S8" s="18"/>
      <c r="T8" s="18"/>
      <c r="U8" s="18"/>
      <c r="V8" s="18"/>
      <c r="W8" s="18"/>
      <c r="X8" s="18"/>
      <c r="Y8" s="18"/>
      <c r="Z8" s="18"/>
    </row>
    <row r="9" spans="1:26" ht="15.75" customHeight="1" thickBot="1">
      <c r="A9" s="22"/>
      <c r="B9" s="23" t="s">
        <v>45</v>
      </c>
      <c r="C9" s="23" t="s">
        <v>46</v>
      </c>
      <c r="D9" s="23" t="s">
        <v>47</v>
      </c>
      <c r="E9" s="23" t="s">
        <v>48</v>
      </c>
      <c r="F9" s="24" t="s">
        <v>49</v>
      </c>
      <c r="G9" s="18"/>
      <c r="H9" s="18"/>
      <c r="I9" s="18"/>
      <c r="J9" s="18"/>
      <c r="K9" s="18"/>
      <c r="L9" s="18"/>
      <c r="M9" s="18"/>
      <c r="N9" s="18"/>
      <c r="O9" s="18"/>
      <c r="P9" s="18"/>
      <c r="Q9" s="18"/>
      <c r="R9" s="18"/>
      <c r="S9" s="18"/>
      <c r="T9" s="18"/>
      <c r="U9" s="18"/>
      <c r="V9" s="18"/>
      <c r="W9" s="18"/>
      <c r="X9" s="18"/>
      <c r="Y9" s="18"/>
      <c r="Z9" s="18"/>
    </row>
    <row r="10" spans="1:26" ht="15.75" customHeight="1" thickBot="1">
      <c r="A10" s="17"/>
      <c r="B10" s="25" t="s">
        <v>50</v>
      </c>
      <c r="C10" s="26">
        <v>26</v>
      </c>
      <c r="D10" s="27">
        <v>1</v>
      </c>
      <c r="E10" s="27">
        <v>22000</v>
      </c>
      <c r="F10" s="28">
        <f t="shared" ref="F10:F13" si="0">C10*D10*E10</f>
        <v>572000</v>
      </c>
      <c r="G10" s="29"/>
      <c r="H10" s="18"/>
      <c r="I10" s="18"/>
      <c r="J10" s="18"/>
      <c r="K10" s="18"/>
      <c r="L10" s="18"/>
      <c r="M10" s="18"/>
      <c r="N10" s="18"/>
      <c r="O10" s="18"/>
      <c r="P10" s="18"/>
      <c r="Q10" s="18"/>
      <c r="R10" s="18"/>
      <c r="S10" s="18"/>
      <c r="T10" s="18"/>
      <c r="U10" s="18"/>
      <c r="V10" s="18"/>
      <c r="W10" s="18"/>
      <c r="X10" s="18"/>
      <c r="Y10" s="18"/>
      <c r="Z10" s="18"/>
    </row>
    <row r="11" spans="1:26" ht="15.75" customHeight="1" thickBot="1">
      <c r="A11" s="17"/>
      <c r="B11" s="30" t="s">
        <v>51</v>
      </c>
      <c r="C11" s="31">
        <v>13</v>
      </c>
      <c r="D11" s="32">
        <v>1</v>
      </c>
      <c r="E11" s="32">
        <v>22000</v>
      </c>
      <c r="F11" s="28">
        <f t="shared" si="0"/>
        <v>286000</v>
      </c>
      <c r="G11" s="29"/>
      <c r="H11" s="33"/>
      <c r="I11" s="18"/>
      <c r="J11" s="18"/>
      <c r="K11" s="18"/>
      <c r="L11" s="18"/>
      <c r="M11" s="18"/>
      <c r="N11" s="18"/>
      <c r="O11" s="18"/>
      <c r="P11" s="18"/>
      <c r="Q11" s="18"/>
      <c r="R11" s="18"/>
      <c r="S11" s="18"/>
      <c r="T11" s="18"/>
      <c r="U11" s="18"/>
      <c r="V11" s="18"/>
      <c r="W11" s="18"/>
      <c r="X11" s="18"/>
      <c r="Y11" s="18"/>
      <c r="Z11" s="18"/>
    </row>
    <row r="12" spans="1:26" ht="15.75" customHeight="1" thickBot="1">
      <c r="A12" s="17"/>
      <c r="B12" s="34"/>
      <c r="C12" s="35"/>
      <c r="D12" s="36"/>
      <c r="E12" s="36"/>
      <c r="F12" s="28">
        <f t="shared" si="0"/>
        <v>0</v>
      </c>
      <c r="G12" s="29"/>
      <c r="H12" s="18"/>
      <c r="I12" s="18"/>
      <c r="J12" s="18"/>
      <c r="K12" s="18"/>
      <c r="L12" s="18"/>
      <c r="M12" s="18"/>
      <c r="N12" s="18"/>
      <c r="O12" s="18"/>
      <c r="P12" s="18"/>
      <c r="Q12" s="18"/>
      <c r="R12" s="18"/>
      <c r="S12" s="18"/>
      <c r="T12" s="18"/>
      <c r="U12" s="18"/>
      <c r="V12" s="18"/>
      <c r="W12" s="18"/>
      <c r="X12" s="18"/>
      <c r="Y12" s="18"/>
      <c r="Z12" s="18"/>
    </row>
    <row r="13" spans="1:26" ht="15.75" customHeight="1" thickBot="1">
      <c r="A13" s="17"/>
      <c r="B13" s="37"/>
      <c r="C13" s="37"/>
      <c r="D13" s="38"/>
      <c r="E13" s="38"/>
      <c r="F13" s="28">
        <f t="shared" si="0"/>
        <v>0</v>
      </c>
      <c r="G13" s="18"/>
      <c r="H13" s="39"/>
      <c r="I13" s="18"/>
      <c r="J13" s="18"/>
      <c r="K13" s="18"/>
      <c r="L13" s="18"/>
      <c r="M13" s="18"/>
      <c r="N13" s="18"/>
      <c r="O13" s="18"/>
      <c r="P13" s="18"/>
      <c r="Q13" s="18"/>
      <c r="R13" s="18"/>
      <c r="S13" s="18"/>
      <c r="T13" s="18"/>
      <c r="U13" s="18"/>
      <c r="V13" s="18"/>
      <c r="W13" s="18"/>
      <c r="X13" s="18"/>
      <c r="Y13" s="18"/>
      <c r="Z13" s="18"/>
    </row>
    <row r="14" spans="1:26" ht="15.75" customHeight="1" thickBot="1">
      <c r="A14" s="40"/>
      <c r="B14" s="85" t="s">
        <v>52</v>
      </c>
      <c r="C14" s="74"/>
      <c r="D14" s="74"/>
      <c r="E14" s="75"/>
      <c r="F14" s="41">
        <f>SUM(F10:F13)</f>
        <v>858000</v>
      </c>
      <c r="G14" s="18"/>
      <c r="H14" s="18"/>
      <c r="I14" s="18"/>
      <c r="J14" s="18"/>
      <c r="K14" s="18"/>
      <c r="L14" s="18"/>
      <c r="M14" s="18"/>
      <c r="N14" s="18"/>
      <c r="O14" s="18"/>
      <c r="P14" s="18"/>
      <c r="Q14" s="18"/>
      <c r="R14" s="18"/>
      <c r="S14" s="18"/>
      <c r="T14" s="18"/>
      <c r="U14" s="18"/>
      <c r="V14" s="18"/>
      <c r="W14" s="18"/>
      <c r="X14" s="18"/>
      <c r="Y14" s="18"/>
      <c r="Z14" s="18"/>
    </row>
    <row r="15" spans="1:26" ht="15.75" customHeight="1">
      <c r="A15" s="42"/>
      <c r="B15" s="43"/>
      <c r="C15" s="43"/>
      <c r="D15" s="43"/>
      <c r="E15" s="43"/>
      <c r="F15" s="44"/>
      <c r="G15" s="18"/>
      <c r="H15" s="18"/>
      <c r="I15" s="18"/>
      <c r="J15" s="18"/>
      <c r="K15" s="18"/>
      <c r="L15" s="18"/>
      <c r="M15" s="18"/>
      <c r="N15" s="18"/>
      <c r="O15" s="18"/>
      <c r="P15" s="18"/>
      <c r="Q15" s="18"/>
      <c r="R15" s="18"/>
      <c r="S15" s="18"/>
      <c r="T15" s="18"/>
      <c r="U15" s="18"/>
      <c r="V15" s="18"/>
      <c r="W15" s="18"/>
      <c r="X15" s="18"/>
      <c r="Y15" s="18"/>
      <c r="Z15" s="18"/>
    </row>
    <row r="16" spans="1:26" ht="24" customHeight="1" thickBot="1">
      <c r="A16" s="71" t="s">
        <v>53</v>
      </c>
      <c r="B16" s="72"/>
      <c r="C16" s="46"/>
      <c r="D16" s="18"/>
      <c r="E16" s="18"/>
      <c r="F16" s="47">
        <v>46246</v>
      </c>
      <c r="G16" s="18"/>
      <c r="H16" s="18"/>
      <c r="I16" s="18"/>
      <c r="J16" s="18"/>
      <c r="K16" s="18"/>
      <c r="L16" s="18"/>
      <c r="M16" s="18"/>
      <c r="N16" s="18"/>
      <c r="O16" s="18"/>
      <c r="P16" s="18"/>
      <c r="Q16" s="18"/>
      <c r="R16" s="18"/>
      <c r="S16" s="18"/>
      <c r="T16" s="18"/>
      <c r="U16" s="18"/>
      <c r="V16" s="18"/>
      <c r="W16" s="18"/>
      <c r="X16" s="18"/>
      <c r="Y16" s="18"/>
      <c r="Z16" s="18"/>
    </row>
    <row r="17" spans="1:26" ht="26.25" customHeight="1">
      <c r="A17" s="71" t="s">
        <v>54</v>
      </c>
      <c r="B17" s="72"/>
      <c r="C17" s="48" t="s">
        <v>55</v>
      </c>
      <c r="D17" s="49"/>
      <c r="E17" s="49"/>
      <c r="F17" s="50" t="s">
        <v>56</v>
      </c>
      <c r="G17" s="18"/>
      <c r="H17" s="18"/>
      <c r="I17" s="18"/>
      <c r="J17" s="18"/>
      <c r="K17" s="18"/>
      <c r="L17" s="18"/>
      <c r="M17" s="18"/>
      <c r="N17" s="18"/>
      <c r="O17" s="18"/>
      <c r="P17" s="18"/>
      <c r="Q17" s="18"/>
      <c r="R17" s="18"/>
      <c r="S17" s="18"/>
      <c r="T17" s="18"/>
      <c r="U17" s="18"/>
      <c r="V17" s="18"/>
      <c r="W17" s="18"/>
      <c r="X17" s="18"/>
      <c r="Y17" s="18"/>
      <c r="Z17" s="18"/>
    </row>
    <row r="18" spans="1:26" ht="25.5" customHeight="1" thickBot="1">
      <c r="A18" s="71" t="s">
        <v>57</v>
      </c>
      <c r="B18" s="72"/>
      <c r="C18" s="51"/>
      <c r="D18" s="49"/>
      <c r="E18" s="49"/>
      <c r="F18" s="52"/>
      <c r="G18" s="18"/>
      <c r="H18" s="18"/>
      <c r="I18" s="18"/>
      <c r="J18" s="18"/>
      <c r="K18" s="18"/>
      <c r="L18" s="18"/>
      <c r="M18" s="18"/>
      <c r="N18" s="18"/>
      <c r="O18" s="18"/>
      <c r="P18" s="18"/>
      <c r="Q18" s="18"/>
      <c r="R18" s="18"/>
      <c r="S18" s="18"/>
      <c r="T18" s="18"/>
      <c r="U18" s="18"/>
      <c r="V18" s="18"/>
      <c r="W18" s="18"/>
      <c r="X18" s="18"/>
      <c r="Y18" s="18"/>
      <c r="Z18" s="18"/>
    </row>
    <row r="19" spans="1:26" ht="24" customHeight="1">
      <c r="A19" s="71" t="s">
        <v>58</v>
      </c>
      <c r="B19" s="72"/>
      <c r="C19" s="48" t="s">
        <v>55</v>
      </c>
      <c r="D19" s="49"/>
      <c r="E19" s="49"/>
      <c r="F19" s="50" t="s">
        <v>56</v>
      </c>
      <c r="G19" s="18"/>
      <c r="H19" s="18"/>
      <c r="I19" s="18"/>
      <c r="J19" s="18"/>
      <c r="K19" s="18"/>
      <c r="L19" s="18"/>
      <c r="M19" s="18"/>
      <c r="N19" s="18"/>
      <c r="O19" s="18"/>
      <c r="P19" s="18"/>
      <c r="Q19" s="18"/>
      <c r="R19" s="18"/>
      <c r="S19" s="18"/>
      <c r="T19" s="18"/>
      <c r="U19" s="18"/>
      <c r="V19" s="18"/>
      <c r="W19" s="18"/>
      <c r="X19" s="18"/>
      <c r="Y19" s="18"/>
      <c r="Z19" s="18"/>
    </row>
    <row r="20" spans="1:26" ht="25.5" customHeight="1" thickBot="1">
      <c r="A20" s="71" t="s">
        <v>59</v>
      </c>
      <c r="B20" s="72"/>
      <c r="C20" s="53"/>
      <c r="D20" s="49"/>
      <c r="E20" s="49"/>
      <c r="F20" s="54"/>
      <c r="G20" s="18"/>
      <c r="H20" s="18"/>
      <c r="I20" s="18"/>
      <c r="J20" s="18"/>
      <c r="K20" s="18"/>
      <c r="L20" s="18"/>
      <c r="M20" s="18"/>
      <c r="N20" s="18"/>
      <c r="O20" s="18"/>
      <c r="P20" s="18"/>
      <c r="Q20" s="18"/>
      <c r="R20" s="18"/>
      <c r="S20" s="18"/>
      <c r="T20" s="18"/>
      <c r="U20" s="18"/>
      <c r="V20" s="18"/>
      <c r="W20" s="18"/>
      <c r="X20" s="18"/>
      <c r="Y20" s="18"/>
      <c r="Z20" s="18"/>
    </row>
    <row r="21" spans="1:26" ht="25.5" customHeight="1">
      <c r="A21" s="71" t="s">
        <v>60</v>
      </c>
      <c r="B21" s="72"/>
      <c r="C21" s="48" t="s">
        <v>55</v>
      </c>
      <c r="D21" s="49"/>
      <c r="E21" s="49"/>
      <c r="F21" s="55" t="s">
        <v>56</v>
      </c>
      <c r="G21" s="18"/>
      <c r="H21" s="18"/>
      <c r="I21" s="18"/>
      <c r="J21" s="18"/>
      <c r="K21" s="18"/>
      <c r="L21" s="18"/>
      <c r="M21" s="18"/>
      <c r="N21" s="18"/>
      <c r="O21" s="18"/>
      <c r="P21" s="18"/>
      <c r="Q21" s="18"/>
      <c r="R21" s="18"/>
      <c r="S21" s="18"/>
      <c r="T21" s="18"/>
      <c r="U21" s="18"/>
      <c r="V21" s="18"/>
      <c r="W21" s="18"/>
      <c r="X21" s="18"/>
      <c r="Y21" s="18"/>
      <c r="Z21" s="18"/>
    </row>
    <row r="22" spans="1:26" ht="25.5" customHeight="1">
      <c r="A22" s="45"/>
      <c r="C22" s="48"/>
      <c r="D22" s="49"/>
      <c r="E22" s="49"/>
      <c r="F22" s="50"/>
      <c r="G22" s="18"/>
      <c r="H22" s="18"/>
      <c r="I22" s="18"/>
      <c r="J22" s="18"/>
      <c r="K22" s="18"/>
      <c r="L22" s="18"/>
      <c r="M22" s="18"/>
      <c r="N22" s="18"/>
      <c r="O22" s="18"/>
      <c r="P22" s="18"/>
      <c r="Q22" s="18"/>
      <c r="R22" s="18"/>
      <c r="S22" s="18"/>
      <c r="T22" s="18"/>
      <c r="U22" s="18"/>
      <c r="V22" s="18"/>
      <c r="W22" s="18"/>
      <c r="X22" s="18"/>
      <c r="Y22" s="18"/>
      <c r="Z22" s="18"/>
    </row>
    <row r="23" spans="1:26" ht="25.5" customHeight="1">
      <c r="A23" s="45" t="s">
        <v>61</v>
      </c>
      <c r="C23" s="48"/>
      <c r="D23" s="49"/>
      <c r="E23" s="49"/>
      <c r="F23" s="50"/>
      <c r="G23" s="18"/>
      <c r="H23" s="18"/>
      <c r="I23" s="18"/>
      <c r="J23" s="18"/>
      <c r="K23" s="18"/>
      <c r="L23" s="18"/>
      <c r="M23" s="18"/>
      <c r="N23" s="18"/>
      <c r="O23" s="18"/>
      <c r="P23" s="18"/>
      <c r="Q23" s="18"/>
      <c r="R23" s="18"/>
      <c r="S23" s="18"/>
      <c r="T23" s="18"/>
      <c r="U23" s="18"/>
      <c r="V23" s="18"/>
      <c r="W23" s="18"/>
      <c r="X23" s="18"/>
      <c r="Y23" s="18"/>
      <c r="Z23" s="18"/>
    </row>
    <row r="24" spans="1:26" ht="25.5" customHeight="1" thickBot="1">
      <c r="A24" s="56" t="s">
        <v>62</v>
      </c>
      <c r="B24" s="57"/>
      <c r="C24" s="53"/>
      <c r="D24" s="49"/>
      <c r="E24" s="49"/>
      <c r="F24" s="52"/>
      <c r="G24" s="18"/>
      <c r="H24" s="18"/>
      <c r="I24" s="18"/>
      <c r="J24" s="18"/>
      <c r="K24" s="18"/>
      <c r="L24" s="18"/>
      <c r="M24" s="18"/>
      <c r="N24" s="18"/>
      <c r="O24" s="18"/>
      <c r="P24" s="18"/>
      <c r="Q24" s="18"/>
      <c r="R24" s="18"/>
      <c r="S24" s="18"/>
      <c r="T24" s="18"/>
      <c r="U24" s="18"/>
      <c r="V24" s="18"/>
      <c r="W24" s="18"/>
      <c r="X24" s="18"/>
      <c r="Y24" s="18"/>
    </row>
    <row r="25" spans="1:26" ht="25.5" customHeight="1">
      <c r="A25" s="56"/>
      <c r="B25" s="57"/>
      <c r="C25" s="48" t="s">
        <v>55</v>
      </c>
      <c r="D25" s="49"/>
      <c r="E25" s="49"/>
      <c r="F25" s="50" t="s">
        <v>56</v>
      </c>
      <c r="G25" s="18"/>
      <c r="H25" s="18"/>
      <c r="I25" s="18"/>
      <c r="J25" s="18"/>
      <c r="K25" s="18"/>
      <c r="L25" s="18"/>
      <c r="M25" s="18"/>
      <c r="N25" s="18"/>
      <c r="O25" s="18"/>
      <c r="P25" s="18"/>
      <c r="Q25" s="18"/>
      <c r="R25" s="18"/>
      <c r="S25" s="18"/>
      <c r="T25" s="18"/>
      <c r="U25" s="18"/>
      <c r="V25" s="18"/>
      <c r="W25" s="18"/>
      <c r="X25" s="18"/>
      <c r="Y25" s="18"/>
      <c r="Z25" s="18"/>
    </row>
    <row r="26" spans="1:26" ht="25.5" customHeight="1">
      <c r="A26" s="45"/>
      <c r="C26" s="48"/>
      <c r="D26" s="49"/>
      <c r="E26" s="49"/>
      <c r="F26" s="50"/>
      <c r="G26" s="18"/>
      <c r="H26" s="18"/>
      <c r="I26" s="18"/>
      <c r="J26" s="18"/>
      <c r="K26" s="18"/>
      <c r="L26" s="18"/>
      <c r="M26" s="18"/>
      <c r="N26" s="18"/>
      <c r="O26" s="18"/>
      <c r="P26" s="18"/>
      <c r="Q26" s="18"/>
      <c r="R26" s="18"/>
      <c r="S26" s="18"/>
      <c r="T26" s="18"/>
      <c r="U26" s="18"/>
      <c r="V26" s="18"/>
      <c r="W26" s="18"/>
      <c r="X26" s="18"/>
      <c r="Y26" s="18"/>
      <c r="Z26" s="18"/>
    </row>
    <row r="27" spans="1:26" ht="15" customHeight="1" thickBot="1">
      <c r="A27" s="58"/>
      <c r="B27" s="59"/>
      <c r="C27" s="59"/>
      <c r="D27" s="59"/>
      <c r="E27" s="59"/>
      <c r="F27" s="60"/>
      <c r="G27" s="18"/>
      <c r="H27" s="18"/>
      <c r="I27" s="18"/>
      <c r="J27" s="18"/>
      <c r="K27" s="18"/>
      <c r="L27" s="18"/>
      <c r="M27" s="18"/>
      <c r="N27" s="18"/>
      <c r="O27" s="18"/>
      <c r="P27" s="18"/>
      <c r="Q27" s="18"/>
      <c r="R27" s="18"/>
      <c r="S27" s="18"/>
      <c r="T27" s="18"/>
      <c r="U27" s="18"/>
      <c r="V27" s="18"/>
      <c r="W27" s="18"/>
      <c r="X27" s="18"/>
      <c r="Y27" s="18"/>
      <c r="Z27" s="18"/>
    </row>
    <row r="28" spans="1:26"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7:B17"/>
    <mergeCell ref="A18:B18"/>
    <mergeCell ref="A19:B19"/>
    <mergeCell ref="A20:B20"/>
    <mergeCell ref="A21:B21"/>
    <mergeCell ref="A16:B16"/>
    <mergeCell ref="A1:F1"/>
    <mergeCell ref="A2:F2"/>
    <mergeCell ref="A3:F4"/>
    <mergeCell ref="A5:F7"/>
    <mergeCell ref="B14:E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890F-2797-4E4B-8636-B3F6300717DC}">
  <dimension ref="A1:F46"/>
  <sheetViews>
    <sheetView topLeftCell="A5" workbookViewId="0">
      <selection activeCell="A37" sqref="A37"/>
    </sheetView>
  </sheetViews>
  <sheetFormatPr defaultRowHeight="14.4"/>
  <cols>
    <col min="1" max="1" width="25.5546875" bestFit="1" customWidth="1"/>
    <col min="2" max="2" width="21.33203125" customWidth="1"/>
    <col min="3" max="3" width="22.21875" customWidth="1"/>
  </cols>
  <sheetData>
    <row r="1" spans="1:6" ht="31.2">
      <c r="A1" s="2" t="s">
        <v>0</v>
      </c>
      <c r="B1" s="3" t="s">
        <v>1</v>
      </c>
      <c r="C1" s="2" t="s">
        <v>2</v>
      </c>
      <c r="D1" s="61" t="s">
        <v>64</v>
      </c>
    </row>
    <row r="2" spans="1:6" ht="15.6">
      <c r="A2" s="4" t="s">
        <v>3</v>
      </c>
      <c r="B2" s="5" t="s">
        <v>4</v>
      </c>
      <c r="C2" s="4">
        <v>993043339</v>
      </c>
      <c r="D2" s="62"/>
    </row>
    <row r="3" spans="1:6" ht="15.6">
      <c r="A3" s="6" t="s">
        <v>5</v>
      </c>
      <c r="B3" s="7"/>
      <c r="C3" s="8">
        <v>992528700</v>
      </c>
      <c r="D3" s="62"/>
      <c r="F3" s="63"/>
    </row>
    <row r="4" spans="1:6" ht="15.6">
      <c r="A4" s="4" t="s">
        <v>6</v>
      </c>
      <c r="B4" s="9"/>
      <c r="C4" s="4">
        <v>993060240</v>
      </c>
      <c r="D4" s="62"/>
    </row>
    <row r="5" spans="1:6" ht="15.6">
      <c r="A5" s="6" t="s">
        <v>7</v>
      </c>
      <c r="B5" s="7" t="s">
        <v>4</v>
      </c>
      <c r="C5" s="8">
        <v>999172465</v>
      </c>
      <c r="D5" s="62"/>
    </row>
    <row r="6" spans="1:6" ht="15.6">
      <c r="A6" s="6" t="s">
        <v>8</v>
      </c>
      <c r="B6" s="7"/>
      <c r="C6" s="8">
        <v>995659322</v>
      </c>
      <c r="D6" t="s">
        <v>65</v>
      </c>
      <c r="F6">
        <f>COUNTBLANK(D2:D46)</f>
        <v>36</v>
      </c>
    </row>
    <row r="7" spans="1:6" ht="15.6">
      <c r="A7" s="6" t="s">
        <v>9</v>
      </c>
      <c r="B7" s="7" t="s">
        <v>4</v>
      </c>
      <c r="C7" s="8">
        <v>991943192</v>
      </c>
      <c r="D7" s="62"/>
    </row>
    <row r="8" spans="1:6" ht="15.6">
      <c r="A8" s="4" t="s">
        <v>10</v>
      </c>
      <c r="B8" s="5" t="s">
        <v>11</v>
      </c>
      <c r="C8" s="4">
        <v>991666665</v>
      </c>
      <c r="D8" t="s">
        <v>65</v>
      </c>
    </row>
    <row r="9" spans="1:6" ht="15.6">
      <c r="A9" s="6" t="s">
        <v>12</v>
      </c>
      <c r="B9" s="7" t="s">
        <v>11</v>
      </c>
      <c r="C9" s="8">
        <v>998368719</v>
      </c>
      <c r="D9" s="62"/>
    </row>
    <row r="10" spans="1:6" ht="15.6">
      <c r="A10" s="10" t="s">
        <v>13</v>
      </c>
      <c r="B10" s="5"/>
      <c r="C10" s="11">
        <v>994214662</v>
      </c>
      <c r="D10" s="62"/>
    </row>
    <row r="11" spans="1:6" ht="15.6">
      <c r="A11" s="6" t="s">
        <v>14</v>
      </c>
      <c r="B11" s="7"/>
      <c r="C11" s="8">
        <v>992780001</v>
      </c>
      <c r="D11" s="62"/>
    </row>
    <row r="12" spans="1:6" ht="15.6">
      <c r="A12" s="10" t="s">
        <v>15</v>
      </c>
      <c r="B12" s="5"/>
      <c r="C12" s="11">
        <v>999699301</v>
      </c>
      <c r="D12" s="62"/>
    </row>
    <row r="13" spans="1:6" ht="15.6">
      <c r="A13" s="4" t="s">
        <v>16</v>
      </c>
      <c r="B13" s="5" t="s">
        <v>11</v>
      </c>
      <c r="C13" s="4">
        <v>992706405</v>
      </c>
      <c r="D13" s="62"/>
    </row>
    <row r="14" spans="1:6" ht="15.6">
      <c r="A14" s="4" t="s">
        <v>17</v>
      </c>
      <c r="B14" s="5" t="s">
        <v>4</v>
      </c>
      <c r="C14" s="4">
        <v>980341680</v>
      </c>
      <c r="D14" s="62"/>
    </row>
    <row r="15" spans="1:6" ht="15.6">
      <c r="A15" s="10" t="s">
        <v>18</v>
      </c>
      <c r="B15" s="5" t="s">
        <v>11</v>
      </c>
      <c r="C15" s="11">
        <v>983814034</v>
      </c>
      <c r="D15" s="62"/>
    </row>
    <row r="16" spans="1:6" ht="15.6">
      <c r="A16" s="4" t="s">
        <v>19</v>
      </c>
      <c r="B16" s="5" t="s">
        <v>4</v>
      </c>
      <c r="C16" s="4">
        <v>986289233</v>
      </c>
      <c r="D16" s="62"/>
    </row>
    <row r="17" spans="1:4" ht="15.6">
      <c r="A17" s="4" t="s">
        <v>20</v>
      </c>
      <c r="B17" s="5" t="s">
        <v>11</v>
      </c>
      <c r="C17" s="4">
        <v>981954523</v>
      </c>
      <c r="D17" t="s">
        <v>65</v>
      </c>
    </row>
    <row r="18" spans="1:4" ht="15.6">
      <c r="A18" s="6" t="s">
        <v>21</v>
      </c>
      <c r="B18" s="7" t="s">
        <v>11</v>
      </c>
      <c r="C18" s="8">
        <v>996808035</v>
      </c>
      <c r="D18" s="62"/>
    </row>
    <row r="19" spans="1:4" ht="15.6">
      <c r="A19" s="6" t="s">
        <v>22</v>
      </c>
      <c r="B19" s="7" t="s">
        <v>4</v>
      </c>
      <c r="C19" s="8">
        <v>996767250</v>
      </c>
      <c r="D19" s="62"/>
    </row>
    <row r="20" spans="1:4" ht="15.6">
      <c r="A20" s="6" t="s">
        <v>23</v>
      </c>
      <c r="B20" s="7" t="s">
        <v>11</v>
      </c>
      <c r="C20" s="8">
        <v>997477776</v>
      </c>
      <c r="D20" s="62"/>
    </row>
    <row r="21" spans="1:4" ht="15.6">
      <c r="A21" s="10" t="s">
        <v>24</v>
      </c>
      <c r="B21" s="5" t="s">
        <v>11</v>
      </c>
      <c r="C21" s="11">
        <v>996956528</v>
      </c>
      <c r="D21" s="62"/>
    </row>
    <row r="22" spans="1:4" ht="15.6">
      <c r="A22" s="10" t="s">
        <v>25</v>
      </c>
      <c r="B22" s="5"/>
      <c r="C22" s="11">
        <v>993449527</v>
      </c>
      <c r="D22" s="62"/>
    </row>
    <row r="23" spans="1:4" ht="15.6">
      <c r="A23" s="10" t="s">
        <v>26</v>
      </c>
      <c r="B23" s="5"/>
      <c r="C23" s="11">
        <v>995046830</v>
      </c>
      <c r="D23" s="62"/>
    </row>
    <row r="24" spans="1:4" ht="15.6">
      <c r="A24" s="14" t="s">
        <v>41</v>
      </c>
      <c r="B24" s="14"/>
      <c r="C24" s="15">
        <v>992743345</v>
      </c>
      <c r="D24" t="s">
        <v>65</v>
      </c>
    </row>
    <row r="25" spans="1:4" ht="15.6">
      <c r="A25" s="16" t="s">
        <v>72</v>
      </c>
      <c r="B25" s="16"/>
      <c r="C25" s="16">
        <v>995786728</v>
      </c>
      <c r="D25" s="62"/>
    </row>
    <row r="26" spans="1:4" ht="15.6">
      <c r="A26" s="16" t="s">
        <v>42</v>
      </c>
      <c r="B26" s="16"/>
      <c r="C26" s="16">
        <v>982548394</v>
      </c>
      <c r="D26" s="62"/>
    </row>
    <row r="27" spans="1:4" ht="15.6">
      <c r="A27" s="10" t="s">
        <v>27</v>
      </c>
      <c r="B27" s="5" t="s">
        <v>28</v>
      </c>
      <c r="C27" s="11">
        <v>994652459</v>
      </c>
      <c r="D27" s="62"/>
    </row>
    <row r="28" spans="1:4" ht="15.6">
      <c r="A28" s="6" t="s">
        <v>29</v>
      </c>
      <c r="B28" s="7"/>
      <c r="C28" s="8">
        <v>880214599</v>
      </c>
      <c r="D28" s="62"/>
    </row>
    <row r="29" spans="1:4" ht="15.6">
      <c r="A29" s="6" t="s">
        <v>30</v>
      </c>
      <c r="B29" s="7" t="s">
        <v>11</v>
      </c>
      <c r="C29" s="8">
        <v>880269208</v>
      </c>
      <c r="D29" t="s">
        <v>65</v>
      </c>
    </row>
    <row r="30" spans="1:4" ht="15.6">
      <c r="A30" s="6" t="s">
        <v>31</v>
      </c>
      <c r="B30" s="7" t="s">
        <v>28</v>
      </c>
      <c r="C30" s="8">
        <v>881188553</v>
      </c>
      <c r="D30" t="s">
        <v>65</v>
      </c>
    </row>
    <row r="31" spans="1:4" ht="15.6">
      <c r="A31" s="6" t="s">
        <v>32</v>
      </c>
      <c r="B31" s="7"/>
      <c r="C31" s="8">
        <v>882435545</v>
      </c>
      <c r="D31" s="62"/>
    </row>
    <row r="32" spans="1:4" ht="15.6">
      <c r="A32" s="4" t="s">
        <v>33</v>
      </c>
      <c r="B32" s="5" t="s">
        <v>28</v>
      </c>
      <c r="C32" s="4">
        <v>882498883</v>
      </c>
      <c r="D32" t="s">
        <v>65</v>
      </c>
    </row>
    <row r="33" spans="1:4" ht="15.6">
      <c r="A33" s="6" t="s">
        <v>34</v>
      </c>
      <c r="B33" s="7" t="s">
        <v>11</v>
      </c>
      <c r="C33" s="8">
        <v>882882507</v>
      </c>
      <c r="D33" t="s">
        <v>65</v>
      </c>
    </row>
    <row r="34" spans="1:4" ht="15.6">
      <c r="A34" s="6" t="s">
        <v>35</v>
      </c>
      <c r="B34" s="7"/>
      <c r="C34" s="8">
        <v>885311098</v>
      </c>
      <c r="D34" t="s">
        <v>65</v>
      </c>
    </row>
    <row r="35" spans="1:4" ht="15.6">
      <c r="A35" s="6" t="s">
        <v>36</v>
      </c>
      <c r="B35" s="7" t="s">
        <v>11</v>
      </c>
      <c r="C35" s="8">
        <v>886296008</v>
      </c>
      <c r="D35" s="62"/>
    </row>
    <row r="36" spans="1:4" ht="15.6">
      <c r="A36" s="6" t="s">
        <v>37</v>
      </c>
      <c r="B36" s="7" t="s">
        <v>11</v>
      </c>
      <c r="C36" s="8">
        <v>887464971</v>
      </c>
      <c r="D36" s="62"/>
    </row>
    <row r="37" spans="1:4" ht="15.6">
      <c r="A37" s="6" t="s">
        <v>38</v>
      </c>
      <c r="B37" s="7" t="s">
        <v>4</v>
      </c>
      <c r="C37" s="8">
        <v>888023020</v>
      </c>
      <c r="D37" s="62"/>
    </row>
    <row r="38" spans="1:4" ht="15.6">
      <c r="A38" s="6" t="s">
        <v>66</v>
      </c>
      <c r="B38" s="7" t="s">
        <v>4</v>
      </c>
      <c r="C38" s="8">
        <v>893757924</v>
      </c>
      <c r="D38" s="62"/>
    </row>
    <row r="39" spans="1:4" ht="15.6">
      <c r="A39" s="6" t="s">
        <v>39</v>
      </c>
      <c r="B39" s="7" t="s">
        <v>11</v>
      </c>
      <c r="C39" s="8">
        <v>899991942</v>
      </c>
      <c r="D39" s="62"/>
    </row>
    <row r="40" spans="1:4" ht="15">
      <c r="A40" s="12" t="s">
        <v>40</v>
      </c>
      <c r="B40" s="12" t="s">
        <v>11</v>
      </c>
      <c r="C40" s="13">
        <v>899223276</v>
      </c>
      <c r="D40" s="62"/>
    </row>
    <row r="41" spans="1:4" ht="15.6">
      <c r="A41" s="64" t="s">
        <v>67</v>
      </c>
      <c r="C41">
        <v>993953396</v>
      </c>
      <c r="D41" s="62"/>
    </row>
    <row r="42" spans="1:4" ht="15.6">
      <c r="A42" s="64" t="s">
        <v>68</v>
      </c>
      <c r="C42" s="65">
        <v>982432642</v>
      </c>
      <c r="D42" s="62"/>
    </row>
    <row r="43" spans="1:4" ht="15.6">
      <c r="A43" s="64" t="s">
        <v>69</v>
      </c>
      <c r="C43">
        <v>997485435</v>
      </c>
      <c r="D43" s="62"/>
    </row>
    <row r="44" spans="1:4" ht="15.6">
      <c r="A44" s="64" t="s">
        <v>70</v>
      </c>
      <c r="C44">
        <v>999338051</v>
      </c>
      <c r="D44" s="62"/>
    </row>
    <row r="45" spans="1:4" ht="15.6">
      <c r="A45" s="64" t="s">
        <v>71</v>
      </c>
      <c r="C45">
        <v>980858554</v>
      </c>
      <c r="D45" s="62"/>
    </row>
    <row r="46" spans="1:4" ht="15.6">
      <c r="A46" s="64" t="s">
        <v>73</v>
      </c>
      <c r="C46">
        <v>993199010</v>
      </c>
      <c r="D46" s="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81CC-AC39-4000-8727-37D2F31E9809}">
  <dimension ref="A1:F46"/>
  <sheetViews>
    <sheetView tabSelected="1" topLeftCell="A25" workbookViewId="0">
      <selection activeCell="F37" sqref="F37"/>
    </sheetView>
  </sheetViews>
  <sheetFormatPr defaultRowHeight="14.4"/>
  <cols>
    <col min="1" max="1" width="25.44140625" customWidth="1"/>
    <col min="2" max="2" width="17.77734375" customWidth="1"/>
    <col min="3" max="3" width="26.6640625" bestFit="1" customWidth="1"/>
    <col min="4" max="4" width="21.88671875" style="103" customWidth="1"/>
    <col min="6" max="6" width="26.109375" customWidth="1"/>
    <col min="9" max="9" width="24.33203125" customWidth="1"/>
  </cols>
  <sheetData>
    <row r="1" spans="1:6" ht="31.8" thickBot="1">
      <c r="A1" s="2" t="s">
        <v>0</v>
      </c>
      <c r="B1" s="3" t="s">
        <v>1</v>
      </c>
      <c r="C1" s="2" t="s">
        <v>2</v>
      </c>
      <c r="D1" s="102"/>
    </row>
    <row r="2" spans="1:6" ht="15" thickBot="1">
      <c r="A2" s="86">
        <v>46090</v>
      </c>
      <c r="B2" s="88"/>
      <c r="C2" s="88"/>
      <c r="F2" s="91" t="s">
        <v>75</v>
      </c>
    </row>
    <row r="3" spans="1:6" ht="16.2" thickBot="1">
      <c r="A3" s="4" t="s">
        <v>3</v>
      </c>
      <c r="B3" s="5" t="s">
        <v>4</v>
      </c>
      <c r="C3" s="4">
        <v>993043339</v>
      </c>
      <c r="D3" s="104" t="s">
        <v>99</v>
      </c>
      <c r="F3" s="91" t="s">
        <v>76</v>
      </c>
    </row>
    <row r="4" spans="1:6" ht="15.6" thickBot="1">
      <c r="A4" s="12" t="s">
        <v>40</v>
      </c>
      <c r="B4" s="12" t="s">
        <v>11</v>
      </c>
      <c r="C4" s="13">
        <v>899223276</v>
      </c>
      <c r="D4" s="103" t="s">
        <v>99</v>
      </c>
      <c r="F4" s="91" t="s">
        <v>77</v>
      </c>
    </row>
    <row r="5" spans="1:6" ht="16.2" thickBot="1">
      <c r="A5" s="92" t="s">
        <v>5</v>
      </c>
      <c r="B5" s="93"/>
      <c r="C5" s="94">
        <v>992528700</v>
      </c>
      <c r="D5" s="105"/>
      <c r="F5" s="91" t="s">
        <v>6</v>
      </c>
    </row>
    <row r="6" spans="1:6" ht="16.2" thickBot="1">
      <c r="A6" s="6" t="s">
        <v>36</v>
      </c>
      <c r="B6" s="7" t="s">
        <v>11</v>
      </c>
      <c r="C6" s="8">
        <v>886296008</v>
      </c>
      <c r="D6" s="103" t="s">
        <v>99</v>
      </c>
      <c r="F6" s="91" t="s">
        <v>78</v>
      </c>
    </row>
    <row r="7" spans="1:6" ht="16.2" thickBot="1">
      <c r="A7" s="4" t="s">
        <v>6</v>
      </c>
      <c r="B7" s="9"/>
      <c r="C7" s="4">
        <v>993060240</v>
      </c>
      <c r="D7" s="104" t="s">
        <v>99</v>
      </c>
      <c r="F7" s="91" t="s">
        <v>80</v>
      </c>
    </row>
    <row r="8" spans="1:6" ht="16.2" thickBot="1">
      <c r="A8" s="92" t="s">
        <v>7</v>
      </c>
      <c r="B8" s="93" t="s">
        <v>4</v>
      </c>
      <c r="C8" s="94">
        <v>999172465</v>
      </c>
      <c r="D8" s="105"/>
      <c r="F8" s="91" t="s">
        <v>81</v>
      </c>
    </row>
    <row r="9" spans="1:6" ht="16.2" thickBot="1">
      <c r="A9" s="97" t="s">
        <v>9</v>
      </c>
      <c r="B9" s="98" t="s">
        <v>4</v>
      </c>
      <c r="C9" s="99">
        <v>991943192</v>
      </c>
      <c r="D9" s="105" t="s">
        <v>99</v>
      </c>
      <c r="F9" s="91" t="s">
        <v>79</v>
      </c>
    </row>
    <row r="10" spans="1:6" ht="16.2" thickBot="1">
      <c r="A10" s="6" t="s">
        <v>66</v>
      </c>
      <c r="B10" s="7" t="s">
        <v>4</v>
      </c>
      <c r="C10" s="8">
        <v>893757924</v>
      </c>
      <c r="D10" s="106" t="s">
        <v>99</v>
      </c>
      <c r="F10" s="91" t="s">
        <v>32</v>
      </c>
    </row>
    <row r="11" spans="1:6" ht="16.2" thickBot="1">
      <c r="A11" s="6" t="s">
        <v>68</v>
      </c>
      <c r="B11" s="16"/>
      <c r="C11" s="8">
        <v>982432642</v>
      </c>
      <c r="D11" s="105" t="s">
        <v>99</v>
      </c>
      <c r="F11" s="91" t="s">
        <v>82</v>
      </c>
    </row>
    <row r="12" spans="1:6" ht="16.2" thickBot="1">
      <c r="A12" s="6" t="s">
        <v>12</v>
      </c>
      <c r="B12" s="7" t="s">
        <v>11</v>
      </c>
      <c r="C12" s="8">
        <v>998368719</v>
      </c>
      <c r="D12" s="105" t="s">
        <v>99</v>
      </c>
      <c r="F12" s="91" t="s">
        <v>83</v>
      </c>
    </row>
    <row r="13" spans="1:6" ht="16.2" thickBot="1">
      <c r="A13" s="6" t="s">
        <v>32</v>
      </c>
      <c r="B13" s="7"/>
      <c r="C13" s="8">
        <v>882435545</v>
      </c>
      <c r="D13" s="106" t="s">
        <v>99</v>
      </c>
      <c r="F13" s="91" t="s">
        <v>16</v>
      </c>
    </row>
    <row r="14" spans="1:6" ht="16.2" thickBot="1">
      <c r="A14" s="10" t="s">
        <v>13</v>
      </c>
      <c r="B14" s="5"/>
      <c r="C14" s="11">
        <v>994214662</v>
      </c>
      <c r="D14" s="107" t="s">
        <v>99</v>
      </c>
      <c r="F14" s="91" t="s">
        <v>17</v>
      </c>
    </row>
    <row r="15" spans="1:6" ht="16.2" thickBot="1">
      <c r="A15" s="97" t="s">
        <v>14</v>
      </c>
      <c r="B15" s="98"/>
      <c r="C15" s="99">
        <v>992780001</v>
      </c>
      <c r="D15" s="105" t="s">
        <v>99</v>
      </c>
      <c r="F15" s="91" t="s">
        <v>84</v>
      </c>
    </row>
    <row r="16" spans="1:6" ht="16.2" thickBot="1">
      <c r="A16" s="97" t="s">
        <v>15</v>
      </c>
      <c r="B16" s="98"/>
      <c r="C16" s="99">
        <v>999699301</v>
      </c>
      <c r="D16" s="107" t="s">
        <v>99</v>
      </c>
      <c r="F16" s="91" t="s">
        <v>86</v>
      </c>
    </row>
    <row r="17" spans="1:6" ht="16.2" thickBot="1">
      <c r="A17" s="100" t="s">
        <v>16</v>
      </c>
      <c r="B17" s="98" t="s">
        <v>11</v>
      </c>
      <c r="C17" s="100">
        <v>992706405</v>
      </c>
      <c r="D17" s="104" t="s">
        <v>99</v>
      </c>
      <c r="F17" s="91" t="s">
        <v>85</v>
      </c>
    </row>
    <row r="18" spans="1:6" ht="16.2" thickBot="1">
      <c r="A18" s="14" t="s">
        <v>34</v>
      </c>
      <c r="B18" s="15" t="s">
        <v>11</v>
      </c>
      <c r="C18" s="15">
        <v>882882507</v>
      </c>
      <c r="D18" s="108" t="s">
        <v>100</v>
      </c>
      <c r="F18" s="91" t="s">
        <v>87</v>
      </c>
    </row>
    <row r="19" spans="1:6" ht="16.2" thickBot="1">
      <c r="A19" s="100" t="s">
        <v>17</v>
      </c>
      <c r="B19" s="98" t="s">
        <v>4</v>
      </c>
      <c r="C19" s="100">
        <v>980341680</v>
      </c>
      <c r="D19" s="104" t="s">
        <v>99</v>
      </c>
      <c r="F19" s="91" t="s">
        <v>88</v>
      </c>
    </row>
    <row r="20" spans="1:6" ht="16.2" thickBot="1">
      <c r="A20" s="6" t="s">
        <v>70</v>
      </c>
      <c r="B20" s="16"/>
      <c r="C20" s="16">
        <v>999338051</v>
      </c>
      <c r="D20" s="109" t="s">
        <v>99</v>
      </c>
      <c r="F20" s="91" t="s">
        <v>21</v>
      </c>
    </row>
    <row r="21" spans="1:6" ht="16.2" thickBot="1">
      <c r="A21" s="97" t="s">
        <v>71</v>
      </c>
      <c r="B21" s="101"/>
      <c r="C21" s="101">
        <v>980858554</v>
      </c>
      <c r="D21" s="109" t="s">
        <v>99</v>
      </c>
      <c r="F21" s="91" t="s">
        <v>89</v>
      </c>
    </row>
    <row r="22" spans="1:6" ht="16.2" thickBot="1">
      <c r="A22" s="97" t="s">
        <v>18</v>
      </c>
      <c r="B22" s="98" t="s">
        <v>11</v>
      </c>
      <c r="C22" s="99">
        <v>983814034</v>
      </c>
      <c r="D22" s="107" t="s">
        <v>99</v>
      </c>
      <c r="F22" s="91" t="s">
        <v>90</v>
      </c>
    </row>
    <row r="23" spans="1:6" ht="16.2" thickBot="1">
      <c r="A23" s="6" t="s">
        <v>73</v>
      </c>
      <c r="B23" s="16"/>
      <c r="C23" s="16">
        <v>993199010</v>
      </c>
      <c r="D23" s="109" t="s">
        <v>99</v>
      </c>
      <c r="F23" s="91" t="s">
        <v>91</v>
      </c>
    </row>
    <row r="24" spans="1:6" ht="16.2" thickBot="1">
      <c r="A24" s="6" t="s">
        <v>67</v>
      </c>
      <c r="B24" s="16"/>
      <c r="C24" s="16">
        <v>993953396</v>
      </c>
      <c r="D24" s="109" t="s">
        <v>99</v>
      </c>
      <c r="F24" s="91" t="s">
        <v>92</v>
      </c>
    </row>
    <row r="25" spans="1:6" ht="16.2" thickBot="1">
      <c r="A25" s="95" t="s">
        <v>19</v>
      </c>
      <c r="B25" s="93" t="s">
        <v>4</v>
      </c>
      <c r="C25" s="95">
        <v>986289233</v>
      </c>
      <c r="D25" s="104"/>
      <c r="F25" s="91" t="s">
        <v>93</v>
      </c>
    </row>
    <row r="26" spans="1:6" ht="16.2" thickBot="1">
      <c r="A26" s="14" t="s">
        <v>31</v>
      </c>
      <c r="B26" s="15" t="s">
        <v>28</v>
      </c>
      <c r="C26" s="15">
        <v>881188553</v>
      </c>
      <c r="D26" s="108" t="s">
        <v>100</v>
      </c>
      <c r="F26" s="91" t="s">
        <v>94</v>
      </c>
    </row>
    <row r="27" spans="1:6" ht="16.2" thickBot="1">
      <c r="A27" s="97" t="s">
        <v>21</v>
      </c>
      <c r="B27" s="98" t="s">
        <v>11</v>
      </c>
      <c r="C27" s="99">
        <v>996808035</v>
      </c>
      <c r="D27" s="105" t="s">
        <v>99</v>
      </c>
      <c r="F27" s="91" t="s">
        <v>42</v>
      </c>
    </row>
    <row r="28" spans="1:6" ht="16.2" thickBot="1">
      <c r="A28" s="97" t="s">
        <v>37</v>
      </c>
      <c r="B28" s="98" t="s">
        <v>11</v>
      </c>
      <c r="C28" s="99">
        <v>887464971</v>
      </c>
      <c r="D28" s="103" t="s">
        <v>99</v>
      </c>
      <c r="F28" s="91" t="s">
        <v>24</v>
      </c>
    </row>
    <row r="29" spans="1:6" ht="16.2" thickBot="1">
      <c r="A29" s="97" t="s">
        <v>22</v>
      </c>
      <c r="B29" s="98" t="s">
        <v>4</v>
      </c>
      <c r="C29" s="99">
        <v>996767250</v>
      </c>
      <c r="D29" s="105" t="s">
        <v>99</v>
      </c>
      <c r="F29" s="91" t="s">
        <v>95</v>
      </c>
    </row>
    <row r="30" spans="1:6" ht="16.2" thickBot="1">
      <c r="A30" s="6" t="s">
        <v>38</v>
      </c>
      <c r="B30" s="7" t="s">
        <v>4</v>
      </c>
      <c r="C30" s="8">
        <v>888023020</v>
      </c>
      <c r="D30" s="103" t="s">
        <v>99</v>
      </c>
      <c r="F30" s="91" t="s">
        <v>96</v>
      </c>
    </row>
    <row r="31" spans="1:6" ht="16.2" thickBot="1">
      <c r="A31" s="14" t="s">
        <v>30</v>
      </c>
      <c r="B31" s="15" t="s">
        <v>11</v>
      </c>
      <c r="C31" s="15">
        <v>880269208</v>
      </c>
      <c r="D31" s="108" t="s">
        <v>100</v>
      </c>
      <c r="F31" s="91" t="s">
        <v>97</v>
      </c>
    </row>
    <row r="32" spans="1:6" ht="16.2" thickBot="1">
      <c r="A32" s="16" t="s">
        <v>72</v>
      </c>
      <c r="B32" s="16"/>
      <c r="C32" s="16">
        <v>995786728</v>
      </c>
      <c r="D32" s="109" t="s">
        <v>99</v>
      </c>
      <c r="F32" s="91" t="s">
        <v>98</v>
      </c>
    </row>
    <row r="33" spans="1:4" ht="15.6">
      <c r="A33" s="92" t="s">
        <v>23</v>
      </c>
      <c r="B33" s="93" t="s">
        <v>11</v>
      </c>
      <c r="C33" s="94">
        <v>997477776</v>
      </c>
      <c r="D33" s="105"/>
    </row>
    <row r="34" spans="1:4" ht="15.6">
      <c r="A34" s="16" t="s">
        <v>42</v>
      </c>
      <c r="B34" s="16"/>
      <c r="C34" s="16">
        <v>982548394</v>
      </c>
      <c r="D34" s="109" t="s">
        <v>99</v>
      </c>
    </row>
    <row r="35" spans="1:4" ht="15.6">
      <c r="A35" s="97" t="s">
        <v>24</v>
      </c>
      <c r="B35" s="98" t="s">
        <v>11</v>
      </c>
      <c r="C35" s="99">
        <v>996956528</v>
      </c>
      <c r="D35" s="107" t="s">
        <v>99</v>
      </c>
    </row>
    <row r="36" spans="1:4" ht="15.6">
      <c r="A36" s="92" t="s">
        <v>39</v>
      </c>
      <c r="B36" s="93" t="s">
        <v>11</v>
      </c>
      <c r="C36" s="94">
        <v>899991942</v>
      </c>
    </row>
    <row r="37" spans="1:4" ht="15.6">
      <c r="A37" s="6" t="s">
        <v>69</v>
      </c>
      <c r="B37" s="16"/>
      <c r="C37" s="16">
        <v>997485435</v>
      </c>
      <c r="D37" s="109" t="s">
        <v>99</v>
      </c>
    </row>
    <row r="38" spans="1:4" s="1" customFormat="1" ht="15">
      <c r="A38" s="10" t="s">
        <v>25</v>
      </c>
      <c r="B38" s="5"/>
      <c r="C38" s="11">
        <v>993449527</v>
      </c>
      <c r="D38" s="107" t="s">
        <v>99</v>
      </c>
    </row>
    <row r="39" spans="1:4" s="1" customFormat="1" ht="15">
      <c r="A39" s="97" t="s">
        <v>26</v>
      </c>
      <c r="B39" s="98"/>
      <c r="C39" s="99">
        <v>995046830</v>
      </c>
      <c r="D39" s="107" t="s">
        <v>99</v>
      </c>
    </row>
    <row r="40" spans="1:4" s="1" customFormat="1" ht="15">
      <c r="A40" s="6" t="s">
        <v>29</v>
      </c>
      <c r="B40" s="7"/>
      <c r="C40" s="8">
        <v>880214599</v>
      </c>
      <c r="D40" s="107" t="s">
        <v>99</v>
      </c>
    </row>
    <row r="41" spans="1:4" ht="15.6">
      <c r="A41" s="87" t="s">
        <v>27</v>
      </c>
      <c r="B41" s="89" t="s">
        <v>28</v>
      </c>
      <c r="C41" s="90">
        <v>994652459</v>
      </c>
      <c r="D41" s="107" t="s">
        <v>99</v>
      </c>
    </row>
    <row r="45" spans="1:4">
      <c r="A45" s="61"/>
      <c r="B45" s="61"/>
      <c r="C45" s="96" t="s">
        <v>101</v>
      </c>
      <c r="D45" s="110" t="s">
        <v>102</v>
      </c>
    </row>
    <row r="46" spans="1:4">
      <c r="C46" s="61" t="s">
        <v>103</v>
      </c>
    </row>
  </sheetData>
  <sortState xmlns:xlrd2="http://schemas.microsoft.com/office/spreadsheetml/2017/richdata2" ref="A2:D42">
    <sortCondition ref="A1:A42"/>
  </sortState>
  <printOptions headings="1"/>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FCDF-41C9-4BD9-8DDC-B836A9FCF59A}">
  <dimension ref="A1:D11"/>
  <sheetViews>
    <sheetView workbookViewId="0">
      <selection activeCell="A17" sqref="A17"/>
    </sheetView>
  </sheetViews>
  <sheetFormatPr defaultRowHeight="14.4"/>
  <cols>
    <col min="1" max="1" width="27.44140625" customWidth="1"/>
    <col min="2" max="2" width="19" customWidth="1"/>
    <col min="3" max="3" width="24.5546875" customWidth="1"/>
  </cols>
  <sheetData>
    <row r="1" spans="1:4" ht="15.6">
      <c r="A1" s="66" t="s">
        <v>0</v>
      </c>
      <c r="B1" s="67" t="s">
        <v>1</v>
      </c>
      <c r="C1" s="68" t="s">
        <v>2</v>
      </c>
      <c r="D1" s="69"/>
    </row>
    <row r="2" spans="1:4" ht="15">
      <c r="A2" s="12" t="s">
        <v>40</v>
      </c>
      <c r="B2" s="12" t="s">
        <v>11</v>
      </c>
      <c r="C2" s="13">
        <v>899223276</v>
      </c>
    </row>
    <row r="3" spans="1:4" ht="15.6">
      <c r="A3" s="6" t="s">
        <v>36</v>
      </c>
      <c r="B3" s="7" t="s">
        <v>11</v>
      </c>
      <c r="C3" s="8">
        <v>886296008</v>
      </c>
    </row>
    <row r="4" spans="1:4" ht="15.6">
      <c r="A4" s="6" t="s">
        <v>66</v>
      </c>
      <c r="B4" s="7" t="s">
        <v>4</v>
      </c>
      <c r="C4" s="8">
        <v>893757924</v>
      </c>
    </row>
    <row r="5" spans="1:4" ht="15.6">
      <c r="A5" s="6" t="s">
        <v>32</v>
      </c>
      <c r="B5" s="7"/>
      <c r="C5" s="8">
        <v>882435545</v>
      </c>
    </row>
    <row r="6" spans="1:4" ht="15.6">
      <c r="A6" s="6" t="s">
        <v>37</v>
      </c>
      <c r="B6" s="7" t="s">
        <v>11</v>
      </c>
      <c r="C6" s="8">
        <v>887464971</v>
      </c>
    </row>
    <row r="7" spans="1:4" ht="15.6">
      <c r="A7" s="6" t="s">
        <v>38</v>
      </c>
      <c r="B7" s="7" t="s">
        <v>4</v>
      </c>
      <c r="C7" s="8">
        <v>888023020</v>
      </c>
    </row>
    <row r="8" spans="1:4" ht="15.6">
      <c r="A8" s="6" t="s">
        <v>39</v>
      </c>
      <c r="B8" s="7" t="s">
        <v>11</v>
      </c>
      <c r="C8" s="8">
        <v>899991942</v>
      </c>
    </row>
    <row r="9" spans="1:4" ht="15.6">
      <c r="A9" s="6" t="s">
        <v>29</v>
      </c>
      <c r="B9" s="7"/>
      <c r="C9" s="8">
        <v>880214599</v>
      </c>
    </row>
    <row r="11" spans="1:4" ht="15.6">
      <c r="A11" s="70" t="s">
        <v>74</v>
      </c>
    </row>
  </sheetData>
  <sortState xmlns:xlrd2="http://schemas.microsoft.com/office/spreadsheetml/2017/richdata2" ref="A2:C9">
    <sortCondition ref="A1:A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31-aug</vt:lpstr>
      <vt:lpstr>AIRTEL</vt:lpstr>
      <vt:lpstr>TNM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ACADES IT</dc:creator>
  <cp:lastModifiedBy>ACADES IT</cp:lastModifiedBy>
  <cp:lastPrinted>2026-08-31T11:12:57Z</cp:lastPrinted>
  <dcterms:created xsi:type="dcterms:W3CDTF">2026-07-28T12:49:08Z</dcterms:created>
  <dcterms:modified xsi:type="dcterms:W3CDTF">2026-10-07T12:02:00Z</dcterms:modified>
</cp:coreProperties>
</file>